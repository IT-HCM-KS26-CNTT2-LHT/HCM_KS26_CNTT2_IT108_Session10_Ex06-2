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" sheetId="1" state="visible" r:id="rId3"/>
    <sheet name="BangMoiGioi" sheetId="2" state="visible" r:id="rId4"/>
    <sheet name="ThamSo" sheetId="3" state="visible" r:id="rId5"/>
    <sheet name="KiemTh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<sst xmlns="http://schemas.openxmlformats.org/spreadsheetml/2006/main" count="77" uniqueCount="61">
  <si>
    <t xml:space="preserve">Mã BĐS</t>
  </si>
  <si>
    <t xml:space="preserve">Tên BĐS</t>
  </si>
  <si>
    <t xml:space="preserve">Loại BĐS</t>
  </si>
  <si>
    <t xml:space="preserve">Giá bán (VND)</t>
  </si>
  <si>
    <t xml:space="preserve">Mã MG</t>
  </si>
  <si>
    <t xml:space="preserve">Môi giới</t>
  </si>
  <si>
    <t xml:space="preserve">Tỷ lệ hoa hồng</t>
  </si>
  <si>
    <t xml:space="preserve">Hoa hồng (VND)</t>
  </si>
  <si>
    <t xml:space="preserve">Chiết khấu (%)</t>
  </si>
  <si>
    <t xml:space="preserve">Giá sau chiết khấu (VND)</t>
  </si>
  <si>
    <t xml:space="preserve">Giá thuê/tháng (VND)</t>
  </si>
  <si>
    <t xml:space="preserve">SH001</t>
  </si>
  <si>
    <t xml:space="preserve">Villa Riverside</t>
  </si>
  <si>
    <t xml:space="preserve">Biệt thự</t>
  </si>
  <si>
    <t xml:space="preserve">MG01</t>
  </si>
  <si>
    <t xml:space="preserve">SH002</t>
  </si>
  <si>
    <t xml:space="preserve">Sunrise Apartment</t>
  </si>
  <si>
    <t xml:space="preserve">Căn hộ</t>
  </si>
  <si>
    <t xml:space="preserve">MG02</t>
  </si>
  <si>
    <t xml:space="preserve">SH003</t>
  </si>
  <si>
    <t xml:space="preserve">Green Park House</t>
  </si>
  <si>
    <t xml:space="preserve">Nhà phố</t>
  </si>
  <si>
    <t xml:space="preserve">MG03</t>
  </si>
  <si>
    <t xml:space="preserve">SH004</t>
  </si>
  <si>
    <t xml:space="preserve">Skyline Apartment</t>
  </si>
  <si>
    <t xml:space="preserve">SH005</t>
  </si>
  <si>
    <t xml:space="preserve">Ocean View Villa</t>
  </si>
  <si>
    <t xml:space="preserve">SH006</t>
  </si>
  <si>
    <t xml:space="preserve">Central House</t>
  </si>
  <si>
    <t xml:space="preserve">MG04</t>
  </si>
  <si>
    <t xml:space="preserve">Tổng</t>
  </si>
  <si>
    <t xml:space="preserve">Chú thích: chữ xanh = ô nhập liệu; chữ đen = công thức. Mỗi cột là 1 Field, mỗi hàng là 1 Record, không Merge Cell.</t>
  </si>
  <si>
    <t xml:space="preserve">Nguyễn An</t>
  </si>
  <si>
    <t xml:space="preserve">Trần Minh</t>
  </si>
  <si>
    <t xml:space="preserve">Lê Hằng</t>
  </si>
  <si>
    <t xml:space="preserve">Phạm Nam</t>
  </si>
  <si>
    <t xml:space="preserve">Khóa tra cứu = cột A (Mã MG), phải nằm ở cột ĐẦU của vùng tra cứu.</t>
  </si>
  <si>
    <t xml:space="preserve">Lợi suất cho thuê (%/năm)</t>
  </si>
  <si>
    <t xml:space="preserve">Giả định: giá thuê/tháng = Giá bán × lợi suất ÷ 12 (giả định minh họa của nhóm dự án).</t>
  </si>
  <si>
    <t xml:space="preserve">KIỂM THỬ: trôi vùng tra cứu khi kéo công thức</t>
  </si>
  <si>
    <t xml:space="preserve">Hàng</t>
  </si>
  <si>
    <t xml:space="preserve">Công thức SAI (không có $)</t>
  </si>
  <si>
    <t xml:space="preserve">Vùng tra cứu thực tế</t>
  </si>
  <si>
    <t xml:space="preserve">Công thức ĐÚNG ($)</t>
  </si>
  <si>
    <t xml:space="preserve">=VLOOKUP(E2,BangMoiGioi!A2:C5,3,FALSE)</t>
  </si>
  <si>
    <t xml:space="preserve">A2:C5</t>
  </si>
  <si>
    <t xml:space="preserve">=VLOOKUP(E2,BangMoiGioi!$A$2:$C$5,3,FALSE)</t>
  </si>
  <si>
    <t xml:space="preserve">$A$2:$C$5</t>
  </si>
  <si>
    <t xml:space="preserve">=VLOOKUP(E3,BangMoiGioi!A3:C6,3,FALSE)</t>
  </si>
  <si>
    <t xml:space="preserve">A3:C6</t>
  </si>
  <si>
    <t xml:space="preserve">=VLOOKUP(E3,BangMoiGioi!$A$2:$C$5,3,FALSE)</t>
  </si>
  <si>
    <t xml:space="preserve">=VLOOKUP(E4,BangMoiGioi!A4:C7,3,FALSE)</t>
  </si>
  <si>
    <t xml:space="preserve">A4:C7</t>
  </si>
  <si>
    <t xml:space="preserve">=VLOOKUP(E4,BangMoiGioi!$A$2:$C$5,3,FALSE)</t>
  </si>
  <si>
    <t xml:space="preserve">=VLOOKUP(E5,BangMoiGioi!A5:C8,3,FALSE)</t>
  </si>
  <si>
    <t xml:space="preserve">A5:C8</t>
  </si>
  <si>
    <t xml:space="preserve">=VLOOKUP(E5,BangMoiGioi!$A$2:$C$5,3,FALSE)</t>
  </si>
  <si>
    <t xml:space="preserve">Hàng 2: vùng A2:C5 còn đủ MG01–MG04 → kết quả đúng.</t>
  </si>
  <si>
    <t xml:space="preserve">Hàng 3: vùng trôi xuống A3:C6 → mất dòng MG01; tra MG01 báo lỗi không tìm thấy (N/A).</t>
  </si>
  <si>
    <t xml:space="preserve">Hàng 4–5: vùng trôi tiếp, mất dần dữ liệu → lỗi N/A hoặc kết quả sai.</t>
  </si>
  <si>
    <t xml:space="preserve">Cách sửa: khóa vùng bằng $A$2:$C$5 (F4). Khóa cả cột và hàng; kéo xuống vùng vẫn đứng yên.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</si>
</sst>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4D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15000000000</v>
      </c>
      <c r="E2" s="2" t="s">
        <v>14</v>
      </c>
      <c r="F2" s="4" t="str">
        <f aca="false">VLOOKUP(E2,BangMoiGioi!$A$2:$C$5,2,FALSE())</f>
        <v>Nguyễn An</v>
      </c>
      <c r="G2" s="5" t="n">
        <f aca="false">VLOOKUP(E2,BangMoiGioi!$A$2:$C$5,3,FALSE())</f>
        <v>0.02</v>
      </c>
      <c r="H2" s="6" t="n">
        <f aca="false">D2*G2</f>
        <v>300000000</v>
      </c>
      <c r="I2" s="7" t="n">
        <v>0.05</v>
      </c>
      <c r="J2" s="6" t="n">
        <f aca="false">D2*(1-I2)</f>
        <v>14250000000</v>
      </c>
      <c r="K2" s="6" t="n">
        <f aca="false">D2*ThamSo!$B$1/12</f>
        <v>75000000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3" t="n">
        <v>3200000000</v>
      </c>
      <c r="E3" s="2" t="s">
        <v>18</v>
      </c>
      <c r="F3" s="4" t="str">
        <f aca="false">VLOOKUP(E3,BangMoiGioi!$A$2:$C$5,2,FALSE())</f>
        <v>Trần Minh</v>
      </c>
      <c r="G3" s="5" t="n">
        <f aca="false">VLOOKUP(E3,BangMoiGioi!$A$2:$C$5,3,FALSE())</f>
        <v>0.015</v>
      </c>
      <c r="H3" s="6" t="n">
        <f aca="false">D3*G3</f>
        <v>48000000</v>
      </c>
      <c r="I3" s="7" t="n">
        <v>0.03</v>
      </c>
      <c r="J3" s="6" t="n">
        <f aca="false">D3*(1-I3)</f>
        <v>3104000000</v>
      </c>
      <c r="K3" s="6" t="n">
        <f aca="false">D3*ThamSo!$B$1/12</f>
        <v>16000000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3" t="n">
        <v>6800000000</v>
      </c>
      <c r="E4" s="2" t="s">
        <v>22</v>
      </c>
      <c r="F4" s="4" t="str">
        <f aca="false">VLOOKUP(E4,BangMoiGioi!$A$2:$C$5,2,FALSE())</f>
        <v>Lê Hằng</v>
      </c>
      <c r="G4" s="5" t="n">
        <f aca="false">VLOOKUP(E4,BangMoiGioi!$A$2:$C$5,3,FALSE())</f>
        <v>0.018</v>
      </c>
      <c r="H4" s="6" t="n">
        <f aca="false">D4*G4</f>
        <v>122400000</v>
      </c>
      <c r="I4" s="7" t="n">
        <v>0.04</v>
      </c>
      <c r="J4" s="6" t="n">
        <f aca="false">D4*(1-I4)</f>
        <v>6528000000</v>
      </c>
      <c r="K4" s="6" t="n">
        <f aca="false">D4*ThamSo!$B$1/12</f>
        <v>34000000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17</v>
      </c>
      <c r="D5" s="3" t="n">
        <v>2650000000</v>
      </c>
      <c r="E5" s="2" t="s">
        <v>18</v>
      </c>
      <c r="F5" s="4" t="str">
        <f aca="false">VLOOKUP(E5,BangMoiGioi!$A$2:$C$5,2,FALSE())</f>
        <v>Trần Minh</v>
      </c>
      <c r="G5" s="5" t="n">
        <f aca="false">VLOOKUP(E5,BangMoiGioi!$A$2:$C$5,3,FALSE())</f>
        <v>0.015</v>
      </c>
      <c r="H5" s="6" t="n">
        <f aca="false">D5*G5</f>
        <v>39750000</v>
      </c>
      <c r="I5" s="7" t="n">
        <v>0.02</v>
      </c>
      <c r="J5" s="6" t="n">
        <f aca="false">D5*(1-I5)</f>
        <v>2597000000</v>
      </c>
      <c r="K5" s="6" t="n">
        <f aca="false">D5*ThamSo!$B$1/12</f>
        <v>13250000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13</v>
      </c>
      <c r="D6" s="3" t="n">
        <v>18500000000</v>
      </c>
      <c r="E6" s="2" t="s">
        <v>14</v>
      </c>
      <c r="F6" s="4" t="str">
        <f aca="false">VLOOKUP(E6,BangMoiGioi!$A$2:$C$5,2,FALSE())</f>
        <v>Nguyễn An</v>
      </c>
      <c r="G6" s="5" t="n">
        <f aca="false">VLOOKUP(E6,BangMoiGioi!$A$2:$C$5,3,FALSE())</f>
        <v>0.02</v>
      </c>
      <c r="H6" s="6" t="n">
        <f aca="false">D6*G6</f>
        <v>370000000</v>
      </c>
      <c r="I6" s="7" t="n">
        <v>0.05</v>
      </c>
      <c r="J6" s="6" t="n">
        <f aca="false">D6*(1-I6)</f>
        <v>17575000000</v>
      </c>
      <c r="K6" s="6" t="n">
        <f aca="false">D6*ThamSo!$B$1/12</f>
        <v>92500000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21</v>
      </c>
      <c r="D7" s="3" t="n">
        <v>5200000000</v>
      </c>
      <c r="E7" s="2" t="s">
        <v>29</v>
      </c>
      <c r="F7" s="4" t="str">
        <f aca="false">VLOOKUP(E7,BangMoiGioi!$A$2:$C$5,2,FALSE())</f>
        <v>Phạm Nam</v>
      </c>
      <c r="G7" s="5" t="n">
        <f aca="false">VLOOKUP(E7,BangMoiGioi!$A$2:$C$5,3,FALSE())</f>
        <v>0.016</v>
      </c>
      <c r="H7" s="6" t="n">
        <f aca="false">D7*G7</f>
        <v>83200000</v>
      </c>
      <c r="I7" s="7" t="n">
        <v>0.04</v>
      </c>
      <c r="J7" s="6" t="n">
        <f aca="false">D7*(1-I7)</f>
        <v>4992000000</v>
      </c>
      <c r="K7" s="6" t="n">
        <f aca="false">D7*ThamSo!$B$1/12</f>
        <v>26000000</v>
      </c>
    </row>
    <row r="9" customFormat="false" ht="15" hidden="false" customHeight="false" outlineLevel="0" collapsed="false">
      <c r="A9" s="8" t="s">
        <v>30</v>
      </c>
      <c r="D9" s="9" t="n">
        <f aca="false">SUM(D2:D7)</f>
        <v>51350000000</v>
      </c>
      <c r="H9" s="9" t="n">
        <f aca="false">SUM(H2:H7)</f>
        <v>963350000</v>
      </c>
      <c r="J9" s="9" t="n">
        <f aca="false">SUM(J2:J7)</f>
        <v>49046000000</v>
      </c>
      <c r="K9" s="9" t="n">
        <f aca="false">SUM(K2:K7)</f>
        <v>256750000</v>
      </c>
    </row>
    <row r="11" customFormat="false" ht="15" hidden="false" customHeight="false" outlineLevel="0" collapsed="false">
      <c r="A11" s="10" t="s">
        <v>31</v>
      </c>
    </row>
  </sheetData>
  <dataValidations count="1">
    <dataValidation allowBlank="false" errorStyle="stop" operator="between" showDropDown="false" showErrorMessage="false" showInputMessage="false" sqref="E2:E7" type="list">
      <formula1>"MG01,MG02,MG03,MG04"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</row>
    <row r="2" customFormat="false" ht="15" hidden="false" customHeight="false" outlineLevel="0" collapsed="false">
      <c r="A2" s="2" t="s">
        <v>14</v>
      </c>
      <c r="B2" s="2" t="s">
        <v>32</v>
      </c>
      <c r="C2" s="7" t="n">
        <v>0.02</v>
      </c>
    </row>
    <row r="3" customFormat="false" ht="15" hidden="false" customHeight="false" outlineLevel="0" collapsed="false">
      <c r="A3" s="2" t="s">
        <v>18</v>
      </c>
      <c r="B3" s="2" t="s">
        <v>33</v>
      </c>
      <c r="C3" s="7" t="n">
        <v>0.015</v>
      </c>
    </row>
    <row r="4" customFormat="false" ht="15" hidden="false" customHeight="false" outlineLevel="0" collapsed="false">
      <c r="A4" s="2" t="s">
        <v>22</v>
      </c>
      <c r="B4" s="2" t="s">
        <v>34</v>
      </c>
      <c r="C4" s="7" t="n">
        <v>0.018</v>
      </c>
    </row>
    <row r="5" customFormat="false" ht="15" hidden="false" customHeight="false" outlineLevel="0" collapsed="false">
      <c r="A5" s="2" t="s">
        <v>29</v>
      </c>
      <c r="B5" s="2" t="s">
        <v>35</v>
      </c>
      <c r="C5" s="7" t="n">
        <v>0.016</v>
      </c>
    </row>
    <row r="7" customFormat="false" ht="15" hidden="false" customHeight="false" outlineLevel="0" collapsed="false">
      <c r="A7" s="1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1" t="s">
        <v>37</v>
      </c>
      <c r="B1" s="12" t="n">
        <v>0.06</v>
      </c>
    </row>
    <row r="2" customFormat="false" ht="15" hidden="false" customHeight="false" outlineLevel="0" collapsed="false">
      <c r="A2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3" t="s">
        <v>39</v>
      </c>
    </row>
    <row r="3" customFormat="false" ht="15" hidden="false" customHeight="false" outlineLevel="0" collapsed="false">
      <c r="A3" s="1" t="s">
        <v>40</v>
      </c>
      <c r="B3" s="1" t="s">
        <v>41</v>
      </c>
      <c r="C3" s="1" t="s">
        <v>42</v>
      </c>
      <c r="D3" s="1" t="s">
        <v>43</v>
      </c>
      <c r="E3" s="1" t="s">
        <v>42</v>
      </c>
    </row>
    <row r="4" customFormat="false" ht="15" hidden="false" customHeight="false" outlineLevel="0" collapsed="false">
      <c r="A4" s="4" t="n">
        <v>2</v>
      </c>
      <c r="B4" s="4" t="s">
        <v>44</v>
      </c>
      <c r="C4" s="4" t="s">
        <v>45</v>
      </c>
      <c r="D4" s="4" t="s">
        <v>46</v>
      </c>
      <c r="E4" s="4" t="s">
        <v>47</v>
      </c>
    </row>
    <row r="5" customFormat="false" ht="15" hidden="false" customHeight="false" outlineLevel="0" collapsed="false">
      <c r="A5" s="4" t="n">
        <v>3</v>
      </c>
      <c r="B5" s="4" t="s">
        <v>48</v>
      </c>
      <c r="C5" s="4" t="s">
        <v>49</v>
      </c>
      <c r="D5" s="4" t="s">
        <v>50</v>
      </c>
      <c r="E5" s="4" t="s">
        <v>47</v>
      </c>
    </row>
    <row r="6" customFormat="false" ht="15" hidden="false" customHeight="false" outlineLevel="0" collapsed="false">
      <c r="A6" s="4" t="n">
        <v>4</v>
      </c>
      <c r="B6" s="4" t="s">
        <v>51</v>
      </c>
      <c r="C6" s="4" t="s">
        <v>52</v>
      </c>
      <c r="D6" s="4" t="s">
        <v>53</v>
      </c>
      <c r="E6" s="4" t="s">
        <v>47</v>
      </c>
    </row>
    <row r="7" customFormat="false" ht="15" hidden="false" customHeight="false" outlineLevel="0" collapsed="false">
      <c r="A7" s="4" t="n">
        <v>5</v>
      </c>
      <c r="B7" s="4" t="s">
        <v>54</v>
      </c>
      <c r="C7" s="4" t="s">
        <v>55</v>
      </c>
      <c r="D7" s="4" t="s">
        <v>56</v>
      </c>
      <c r="E7" s="4" t="s">
        <v>47</v>
      </c>
    </row>
    <row r="10" customFormat="false" ht="15" hidden="false" customHeight="false" outlineLevel="0" collapsed="false">
      <c r="A10" s="11" t="s">
        <v>57</v>
      </c>
    </row>
    <row r="11" customFormat="false" ht="15" hidden="false" customHeight="false" outlineLevel="0" collapsed="false">
      <c r="A11" s="11" t="s">
        <v>58</v>
      </c>
    </row>
    <row r="12" customFormat="false" ht="15" hidden="false" customHeight="false" outlineLevel="0" collapsed="false">
      <c r="A12" s="11" t="s">
        <v>59</v>
      </c>
    </row>
    <row r="13" customFormat="false" ht="15" hidden="false" customHeight="false" outlineLevel="0" collapsed="false">
      <c r="A13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2026-10-21T08:37:48Z</dcterms:created>
  <dc:creator>openpyxl</dc:creator>
  <dc:description/>
  <dc:language>en-US</dc:language>
  <cp:lastModifiedBy/>
  <dcterms:modified xsi:type="dcterms:W3CDTF">2026-10-21T08:37:48Z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